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E8E3FB04-324B-4054-8C69-0703C2FD78A6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Aditivo!$A$1:$I$89</definedName>
    <definedName name="_xlnm._FilterDatabase" localSheetId="0" hidden="1">Medicoes!$A$1:$A$212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75" i="2" l="1"/>
  <c r="M170" i="2"/>
  <c r="I2" i="1"/>
</calcChain>
</file>

<file path=xl/sharedStrings.xml><?xml version="1.0" encoding="utf-8"?>
<sst xmlns="http://schemas.openxmlformats.org/spreadsheetml/2006/main" count="460" uniqueCount="96">
  <si>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</si>
  <si>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</si>
  <si>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</si>
  <si>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</si>
  <si>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</si>
  <si>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</si>
  <si>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</si>
  <si>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</si>
  <si>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</si>
  <si>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</si>
  <si>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</si>
  <si>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</si>
  <si>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</si>
  <si>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</si>
  <si>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</si>
  <si>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</si>
  <si>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</si>
  <si>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</si>
  <si>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</si>
  <si>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</si>
  <si>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</si>
  <si>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</si>
  <si>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</si>
  <si>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</si>
  <si>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</si>
  <si>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</si>
  <si>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</si>
  <si>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</si>
  <si>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</si>
  <si>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</si>
  <si>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</si>
  <si>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</si>
  <si>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</si>
  <si>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</si>
  <si>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</si>
  <si>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</si>
  <si>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</si>
  <si>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</si>
  <si>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</si>
  <si>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</si>
  <si>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</si>
  <si>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</si>
  <si>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</si>
  <si>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</si>
  <si>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</si>
  <si>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</si>
  <si>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</si>
  <si>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</si>
  <si>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</si>
  <si>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</si>
  <si>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</si>
  <si>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</si>
  <si>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</si>
  <si>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 xml:space="preserve">ADITIVO DE VALOR 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</si>
  <si>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</si>
  <si>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</si>
  <si>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</si>
  <si>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</si>
  <si>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</si>
  <si>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</si>
  <si>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</si>
  <si>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</si>
  <si>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</si>
  <si>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</si>
  <si>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</si>
  <si>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</si>
  <si>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</si>
  <si>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</si>
  <si>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</si>
  <si>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</si>
  <si>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</si>
  <si>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</si>
  <si>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</si>
  <si>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</si>
  <si>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</si>
  <si>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</si>
  <si>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</si>
  <si>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</si>
  <si>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</si>
  <si>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</si>
  <si>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</si>
  <si>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</si>
  <si>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</si>
  <si>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</si>
  <si>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</si>
  <si>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</si>
  <si>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</si>
  <si>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</si>
  <si>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</si>
  <si>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</si>
  <si>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</si>
  <si>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</si>
  <si>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</si>
  <si>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</si>
  <si>
    <t>8 do 4</t>
  </si>
  <si>
    <t>os  = 4.243,08m²/med=3.970,31m²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</si>
</sst>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M212"/>
  <sheetViews>
    <sheetView tabSelected="1" workbookViewId="0">
      <selection activeCell="F23" sqref="F23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1.425781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66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69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66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70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71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66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66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66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66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66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66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66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92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67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57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59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59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59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59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59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13" x14ac:dyDescent="0.25">
      <c r="A161" t="s">
        <v>59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13" x14ac:dyDescent="0.25">
      <c r="A162" t="s">
        <v>59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13" x14ac:dyDescent="0.25">
      <c r="A163" t="s">
        <v>59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13" x14ac:dyDescent="0.25">
      <c r="A164" t="s">
        <v>59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13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68</v>
      </c>
      <c r="I165">
        <v>14300</v>
      </c>
    </row>
    <row r="166" spans="1:13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60</v>
      </c>
    </row>
    <row r="167" spans="1:13" x14ac:dyDescent="0.25">
      <c r="A167" t="s">
        <v>59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13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13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13" x14ac:dyDescent="0.25">
      <c r="A170" t="s">
        <v>5</v>
      </c>
      <c r="B170" t="s">
        <v>64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  <c r="M170">
        <f>427.05+3816.03</f>
        <v>4243.08</v>
      </c>
    </row>
    <row r="171" spans="1:13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13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65</v>
      </c>
      <c r="I172">
        <v>14663</v>
      </c>
    </row>
    <row r="173" spans="1:13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13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13" x14ac:dyDescent="0.25">
      <c r="A175" t="s">
        <v>5</v>
      </c>
      <c r="B175" t="s">
        <v>72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88</v>
      </c>
      <c r="I175">
        <v>14754</v>
      </c>
      <c r="M175">
        <f>424.05+3546.26</f>
        <v>3970.3100000000004</v>
      </c>
    </row>
    <row r="176" spans="1:13" x14ac:dyDescent="0.25">
      <c r="A176" t="s">
        <v>63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63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63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63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63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63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63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63</v>
      </c>
      <c r="B183">
        <v>8</v>
      </c>
      <c r="C183" s="1">
        <v>45540</v>
      </c>
      <c r="D183" s="2">
        <v>250777</v>
      </c>
    </row>
    <row r="184" spans="1:4" x14ac:dyDescent="0.25">
      <c r="A184" t="s">
        <v>63</v>
      </c>
      <c r="B184">
        <v>9</v>
      </c>
      <c r="C184" s="1">
        <v>45569</v>
      </c>
      <c r="D184" s="2">
        <v>250778</v>
      </c>
    </row>
    <row r="185" spans="1:4" x14ac:dyDescent="0.25">
      <c r="A185" t="s">
        <v>63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63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63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63</v>
      </c>
      <c r="B188" t="s">
        <v>73</v>
      </c>
      <c r="C188" s="1">
        <v>45712</v>
      </c>
      <c r="D188" s="2">
        <v>250777</v>
      </c>
    </row>
    <row r="189" spans="1:4" x14ac:dyDescent="0.25">
      <c r="A189" t="s">
        <v>63</v>
      </c>
      <c r="B189" t="s">
        <v>74</v>
      </c>
      <c r="C189" s="1">
        <v>45726</v>
      </c>
      <c r="D189" s="2">
        <v>250777</v>
      </c>
    </row>
    <row r="190" spans="1:4" x14ac:dyDescent="0.25">
      <c r="A190" t="s">
        <v>63</v>
      </c>
      <c r="B190" t="s">
        <v>75</v>
      </c>
      <c r="C190" s="1">
        <v>45751</v>
      </c>
      <c r="D190" s="2">
        <v>286649.17</v>
      </c>
    </row>
    <row r="191" spans="1:4" x14ac:dyDescent="0.25">
      <c r="A191" t="s">
        <v>63</v>
      </c>
      <c r="B191" t="s">
        <v>76</v>
      </c>
      <c r="C191" s="1">
        <v>45786</v>
      </c>
      <c r="D191" s="2">
        <v>262734.39</v>
      </c>
    </row>
    <row r="192" spans="1:4" x14ac:dyDescent="0.25">
      <c r="A192" t="s">
        <v>63</v>
      </c>
      <c r="B192" t="s">
        <v>77</v>
      </c>
      <c r="C192" s="1">
        <v>45814</v>
      </c>
      <c r="D192" s="2">
        <v>262734.39</v>
      </c>
    </row>
    <row r="193" spans="1:9" x14ac:dyDescent="0.25">
      <c r="A193" t="s">
        <v>63</v>
      </c>
      <c r="B193" t="s">
        <v>78</v>
      </c>
      <c r="C193" s="1">
        <v>45845</v>
      </c>
      <c r="D193" s="2">
        <v>262734.39</v>
      </c>
    </row>
    <row r="194" spans="1:9" x14ac:dyDescent="0.25">
      <c r="A194" t="s">
        <v>63</v>
      </c>
      <c r="B194" t="s">
        <v>79</v>
      </c>
      <c r="C194" s="1">
        <v>45876</v>
      </c>
      <c r="D194" s="2">
        <v>262734.39</v>
      </c>
    </row>
    <row r="195" spans="1:9" x14ac:dyDescent="0.25">
      <c r="A195" t="s">
        <v>63</v>
      </c>
      <c r="B195" t="s">
        <v>80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x14ac:dyDescent="0.25">
      <c r="A198" t="s">
        <v>58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x14ac:dyDescent="0.25">
      <c r="A200" t="s">
        <v>82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90</v>
      </c>
    </row>
    <row r="201" spans="1:9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84</v>
      </c>
    </row>
    <row r="202" spans="1:9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85</v>
      </c>
      <c r="I202">
        <v>14994</v>
      </c>
    </row>
    <row r="203" spans="1:9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86</v>
      </c>
      <c r="I203">
        <v>15027</v>
      </c>
    </row>
    <row r="204" spans="1:9" x14ac:dyDescent="0.25">
      <c r="A204" t="s">
        <v>5</v>
      </c>
      <c r="B204" t="s">
        <v>87</v>
      </c>
      <c r="C204" s="1">
        <v>45989</v>
      </c>
      <c r="D204" s="2">
        <v>604101.49</v>
      </c>
      <c r="E204">
        <v>1079</v>
      </c>
      <c r="F204" s="1">
        <v>45993</v>
      </c>
      <c r="G204" s="1">
        <v>46003</v>
      </c>
      <c r="H204" t="s">
        <v>89</v>
      </c>
      <c r="I204">
        <v>15047</v>
      </c>
    </row>
    <row r="205" spans="1:9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91</v>
      </c>
      <c r="I208">
        <v>15173</v>
      </c>
    </row>
    <row r="209" spans="1:9" x14ac:dyDescent="0.25">
      <c r="A209" t="s">
        <v>0</v>
      </c>
      <c r="B209">
        <v>17</v>
      </c>
      <c r="C209" s="1">
        <v>46030</v>
      </c>
      <c r="D209" s="2">
        <v>423150</v>
      </c>
    </row>
    <row r="210" spans="1:9" x14ac:dyDescent="0.25">
      <c r="A210" t="s">
        <v>1</v>
      </c>
      <c r="B210">
        <v>19</v>
      </c>
      <c r="C210" s="1">
        <v>46041</v>
      </c>
      <c r="D210" s="2">
        <v>18614.2</v>
      </c>
      <c r="I210">
        <v>15428</v>
      </c>
    </row>
    <row r="211" spans="1:9" x14ac:dyDescent="0.25">
      <c r="A211" t="s">
        <v>5</v>
      </c>
      <c r="B211" t="s">
        <v>94</v>
      </c>
      <c r="C211" s="1">
        <v>46038</v>
      </c>
      <c r="D211" s="2">
        <v>925792.9</v>
      </c>
      <c r="H211" t="s">
        <v>95</v>
      </c>
      <c r="I211">
        <v>15416</v>
      </c>
    </row>
    <row r="212" spans="1:9" x14ac:dyDescent="0.25">
      <c r="A212" t="s">
        <v>6</v>
      </c>
      <c r="B212">
        <v>8</v>
      </c>
      <c r="C212" s="1">
        <v>46044</v>
      </c>
      <c r="D212" s="2">
        <v>238489.65</v>
      </c>
    </row>
  </sheetData>
  <autoFilter ref="A1:A212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89"/>
  <sheetViews>
    <sheetView topLeftCell="A61" workbookViewId="0">
      <selection activeCell="E17" sqref="E17"/>
    </sheetView>
  </sheetViews>
  <sheetFormatPr defaultRowHeight="15" x14ac:dyDescent="0.25"/>
  <cols>
    <col min="1" max="1" width="11.285156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81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C3" s="1">
        <v>45634</v>
      </c>
      <c r="D3">
        <v>22686.63</v>
      </c>
    </row>
    <row r="4" spans="1:9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  <c r="C20" s="1">
        <v>45377</v>
      </c>
    </row>
    <row r="21" spans="1:9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53</v>
      </c>
      <c r="C23" s="1">
        <v>45558</v>
      </c>
      <c r="D23">
        <v>750497.66</v>
      </c>
      <c r="I23">
        <v>17.348874299999999</v>
      </c>
    </row>
    <row r="24" spans="1:9" x14ac:dyDescent="0.25">
      <c r="A24" t="s">
        <v>54</v>
      </c>
      <c r="B24" t="s">
        <v>55</v>
      </c>
    </row>
    <row r="25" spans="1:9" x14ac:dyDescent="0.25">
      <c r="A25" t="s">
        <v>54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55</v>
      </c>
      <c r="C34" s="1">
        <v>45656</v>
      </c>
    </row>
    <row r="35" spans="1:9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x14ac:dyDescent="0.25">
      <c r="A45" t="s">
        <v>9</v>
      </c>
      <c r="B45" t="s">
        <v>56</v>
      </c>
      <c r="C45" s="1">
        <v>45796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58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58</v>
      </c>
      <c r="B49" t="s">
        <v>48</v>
      </c>
    </row>
    <row r="50" spans="1:9" x14ac:dyDescent="0.25">
      <c r="A50" t="s">
        <v>58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58</v>
      </c>
      <c r="B51" t="s">
        <v>45</v>
      </c>
      <c r="D51">
        <v>456065.43</v>
      </c>
      <c r="I51">
        <v>24.927</v>
      </c>
    </row>
    <row r="52" spans="1:9" x14ac:dyDescent="0.25">
      <c r="A52" t="s">
        <v>58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58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  <c r="C65" s="1">
        <v>45840</v>
      </c>
    </row>
    <row r="66" spans="1:9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x14ac:dyDescent="0.25">
      <c r="A67" t="s">
        <v>61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61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61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61</v>
      </c>
      <c r="B70" t="s">
        <v>62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61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63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63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83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x14ac:dyDescent="0.25">
      <c r="A87" t="s">
        <v>11</v>
      </c>
      <c r="B87" t="s">
        <v>56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x14ac:dyDescent="0.25">
      <c r="A88" t="s">
        <v>9</v>
      </c>
      <c r="B88" t="s">
        <v>93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</sheetData>
  <autoFilter ref="A1:I89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2026-01-23T19:42:22Z</dcterms:modified>
</cp:coreProperties>
</file>