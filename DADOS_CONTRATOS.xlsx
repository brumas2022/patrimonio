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BD7C6493-73D7-4878-8EA5-C1E617548D0E}"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9" i="1" l="1"/>
  <c r="G57" i="1"/>
  <c r="G58" i="1"/>
  <c r="G56" i="1"/>
  <c r="G55" i="1"/>
  <c r="G53" i="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<sst xmlns="http://schemas.openxmlformats.org/spreadsheetml/2006/main" count="648" uniqueCount="287">
  <si>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</si>
  <si>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</si>
  <si>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</si>
  <si>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</si>
  <si>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</si>
  <si>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</si>
  <si>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</si>
  <si>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</si>
  <si>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</si>
  <si>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</si>
  <si>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</si>
  <si>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</si>
  <si>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</si>
  <si>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</si>
  <si>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</si>
  <si>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</si>
  <si>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</si>
  <si>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</si>
  <si>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</si>
  <si>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</si>
  <si>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</si>
  <si>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</si>
  <si>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</si>
  <si>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</si>
  <si>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</si>
  <si>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</si>
  <si>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</si>
  <si>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</si>
  <si>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</si>
  <si>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</si>
  <si>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</si>
  <si>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</si>
  <si>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</si>
  <si>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</si>
  <si>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</si>
  <si>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</si>
  <si>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</si>
  <si>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</si>
  <si>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</si>
  <si>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</si>
  <si>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</si>
  <si>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</si>
  <si>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</si>
  <si>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</si>
  <si>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</si>
  <si>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</si>
  <si>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</si>
  <si>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</si>
  <si>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</si>
  <si>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</si>
  <si>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</si>
  <si>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</si>
  <si>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</si>
  <si>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</si>
  <si>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</si>
  <si>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</si>
  <si>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</si>
  <si>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</si>
  <si>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</si>
  <si>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</si>
  <si>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</si>
  <si>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</si>
  <si>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</si>
  <si>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</si>
  <si>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</si>
  <si>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</si>
  <si>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</si>
  <si>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</si>
  <si>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</si>
  <si>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</si>
  <si>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</si>
  <si>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</si>
  <si>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</si>
  <si>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</si>
  <si>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</si>
  <si>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</si>
  <si>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</si>
  <si>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</si>
  <si>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</si>
  <si>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</si>
  <si>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</si>
  <si>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</si>
  <si>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</si>
  <si>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</si>
  <si>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</si>
  <si>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</si>
  <si>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</si>
  <si>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</si>
  <si>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</si>
  <si>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</si>
  <si>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</si>
  <si>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</si>
  <si>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</si>
  <si>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</si>
  <si>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</si>
  <si>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</si>
  <si>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</si>
  <si>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</si>
  <si>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</si>
  <si>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</si>
  <si>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</si>
  <si>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</si>
  <si>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</si>
  <si>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</si>
  <si>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</si>
  <si>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</si>
  <si>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</si>
  <si>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</si>
  <si>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</si>
  <si>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</si>
  <si>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</si>
  <si>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</si>
  <si>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</si>
  <si>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</si>
  <si>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</si>
  <si>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</si>
  <si>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</si>
  <si>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</si>
  <si>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</si>
  <si>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</si>
  <si>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</si>
  <si>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</si>
  <si>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</si>
  <si>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</si>
  <si>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</si>
  <si>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</si>
  <si>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</si>
  <si>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</si>
  <si>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</si>
  <si>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</si>
  <si>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</si>
  <si>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</si>
  <si>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</si>
  <si>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</si>
  <si>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</si>
  <si>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</si>
  <si>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</si>
  <si>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</si>
  <si>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</si>
  <si>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</si>
  <si>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</si>
  <si>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</si>
  <si>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</si>
  <si>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</si>
  <si>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</si>
  <si>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</si>
  <si>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</si>
  <si>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</si>
  <si>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</si>
  <si>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</si>
  <si>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</si>
  <si>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</si>
  <si>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</si>
  <si>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</si>
  <si>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</si>
  <si>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</si>
  <si>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</si>
  <si>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</si>
  <si>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</si>
  <si>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</si>
  <si>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</si>
  <si>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</si>
  <si>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</si>
  <si>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</si>
  <si>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</si>
  <si>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</si>
  <si>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</si>
  <si>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</si>
  <si>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</si>
  <si>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</si>
  <si>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</si>
  <si>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</si>
  <si>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</si>
  <si>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</si>
  <si>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</si>
  <si>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</si>
  <si>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</si>
  <si>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</si>
  <si>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</si>
  <si>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</si>
  <si>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</si>
  <si>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</si>
  <si>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</si>
  <si>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</si>
  <si>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</si>
  <si>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</si>
  <si>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</si>
  <si>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</si>
  <si>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</si>
  <si>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</si>
  <si>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</si>
  <si>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</si>
  <si>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</si>
  <si>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</si>
  <si>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</si>
  <si>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</si>
  <si>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</si>
  <si>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</si>
  <si>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</si>
  <si>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</si>
  <si>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</si>
  <si>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</si>
  <si>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</si>
  <si>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</si>
  <si>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</si>
  <si>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</si>
  <si>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</si>
  <si>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</si>
  <si>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</si>
  <si>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</si>
  <si>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</si>
  <si>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</si>
  <si>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</si>
  <si>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</si>
  <si>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</si>
  <si>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</si>
  <si>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</si>
  <si>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</si>
  <si>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</si>
  <si>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</si>
  <si>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</si>
  <si>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</si>
  <si>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</si>
  <si>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</si>
  <si>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</si>
  <si>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</si>
  <si>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</si>
  <si>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</si>
  <si>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</si>
  <si>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</si>
  <si>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</si>
  <si>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</si>
  <si>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</si>
  <si>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</si>
  <si>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</si>
  <si>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</si>
  <si>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</si>
  <si>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</si>
  <si>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</si>
  <si>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</si>
  <si>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</si>
  <si>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</si>
  <si>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</si>
  <si>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</si>
  <si>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</si>
  <si>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</si>
  <si>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</si>
  <si>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</si>
  <si>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</si>
  <si>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</si>
  <si>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</si>
  <si>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</si>
  <si>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</si>
  <si>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</si>
  <si>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</si>
  <si>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</si>
  <si>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</si>
  <si>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</si>
  <si>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</si>
  <si>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</si>
  <si>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</si>
  <si>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</si>
  <si>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</si>
  <si>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</si>
  <si>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</si>
  <si>
    <t>005/2026</t>
  </si>
  <si>
    <t>SM7 ENGENHARIA, TECNOLOGIA E IMPORTAÇÃO LTDA.</t>
  </si>
  <si>
    <t>ELABORAÇÃO DE PROJETO EXECUTIVO, FORNECIMENTO E IMPLANTAÇÃO DE UM RESERVATÓRIO METÁLICO APOIADO, PARAFUSADO, COM REVESTIMENTO VITRIFICADO E COBERTURA DO TIPO DOMOS GEODÉSICO EM ALUMÍNIO, COM CAPACIDADE VOLUMÉTRICA NOMINAL DE 2.500 M³</t>
  </si>
  <si>
    <t>CE 001/2026</t>
  </si>
  <si>
    <t>NOVOPAC</t>
  </si>
  <si>
    <t>008/2026</t>
  </si>
  <si>
    <t>TN CONSTRUÇÕES E SERVIÇOS LTDA.</t>
  </si>
  <si>
    <t>EXECUÇÃO DE REDES DE ESGOTAMENTO SANITÁRIO NO LOTEAMENTO RODOVIÁRIO, NO MUNICÍPIO DE RONDONÓPOLIS – MT, COMPREENDENDO MÃO DE OBRA, EQUIPAMENTOS, EXECUÇÃO DE LIGAÇÕES DOMICILIARES, POÇOS DE VISITA, RECOMPOSIÇÃO DE PAVIMENTOS E TESTES OPERACIONAIS, , COM RECURSO FEDERAL DO NOVO PAC - TERMO DE COMPROMISSO Nº 968724/2024 - OPERAÇÃO 1098319-94 - OGU</t>
  </si>
  <si>
    <t>CE 003/2026</t>
  </si>
  <si>
    <t>NEXXERA TECNOLOGIA E SERVIÇOS S.A.</t>
  </si>
  <si>
    <t>009/2026</t>
  </si>
  <si>
    <t>010/2026</t>
  </si>
  <si>
    <t>PRESTAÇÃO DE SERVIÇOS DE REDE DE VALOR AGREGADO (VALUE ADDED NETWORK – VAN BANCÁRIA) DESTINADA AO INTERCÂMBIO DE DADOS FINANCEIROS E AO RECONHECIMENTO AUTOMÁTICO E INSTANTÂNEO DOS PAGAMENTOS BANCÁRIOS RECEBIDOS POR ESTA AUTARQUIA</t>
  </si>
  <si>
    <t>WM ESTUDOS E CONSULTORIA EIRELI</t>
  </si>
  <si>
    <t>SERVIÇOS ESPECIALIZADOS DE ENGENHARIA CONSULTIVA PARA ELABORAÇÃO DE ESTUDOS TÉCNICOS, DIMENSIONAMENTOS   E PROJETOS EXECUTIVOS VOLTADOS À REESTRUTURAÇÃO DA CÂMARA DE SUCÇÃO  E BARRILETES DA ESTAÇÃO ELEVATÓRIA DE ÁGUA BRUTA 2 (EEAB2) INCLUINDO O SISTEMA DE DESCARGA DO DESARENADOR E A ADEQUAÇÃO/IMPLANTAÇÃO DAS BACIAS DE CONTENÇÃO PARA ACONDICIONAMENTO DE TANQUES DE PRODUTOS QUÍMICOS (PAC E SODA CÁUSTICA) PARA AS ESTAÇÕES DE TRATAMENTO DE ÁGUA (ETAS) 1 E 2</t>
  </si>
  <si>
    <t>DL 003/2026</t>
  </si>
  <si>
    <t>DL 002/2026</t>
  </si>
  <si>
    <t>003/2026</t>
  </si>
  <si>
    <t>SOCIEDADE IMPRESSORA SOUZA LTDA</t>
  </si>
  <si>
    <t>PRESTAÇÃO DE SERVIÇOS DE PUBLICIDADE LEGAL, CONSISTENTES NA PUBLICAÇÃO DE AVISOS DE LICITAÇÃO E DEMAIS MATÉRIAS DE INTERESSE DO SANEAR, EM JORNAL DIÁRIO IMPRESSO DE GRANDE CIRCULAÇÃO NO MUNICÍPIO DE RONDONÓPOLIS/MT</t>
  </si>
  <si>
    <t xml:space="preserve">ISABELLA GUIMARAES SOUZA </t>
  </si>
  <si>
    <t>IN 002/2026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</si>
</sst>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xf numFmtId="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9"/>
  <sheetViews>
    <sheetView tabSelected="1" topLeftCell="B57" workbookViewId="0">
      <selection activeCell="G59" sqref="G59"/>
    </sheetView>
  </sheetViews>
  <sheetFormatPr defaultRowHeight="15" x14ac:dyDescent="0.25"/>
  <cols>
    <col min="1" max="1" width="5.28515625" customWidth="1"/>
    <col min="2" max="2" width="9.7109375" customWidth="1"/>
    <col min="3" max="3" width="61.710937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9"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row r="55" spans="1:13" ht="135" x14ac:dyDescent="0.25">
      <c r="B55" t="s">
        <v>265</v>
      </c>
      <c r="C55" t="s">
        <v>266</v>
      </c>
      <c r="D55" s="7" t="s">
        <v>267</v>
      </c>
      <c r="E55" s="1">
        <v>46146</v>
      </c>
      <c r="F55" s="1">
        <v>46510</v>
      </c>
      <c r="G55">
        <f t="shared" si="0"/>
        <v>364</v>
      </c>
      <c r="H55" s="30">
        <v>3248774.8</v>
      </c>
      <c r="I55" t="s">
        <v>268</v>
      </c>
      <c r="J55" t="s">
        <v>269</v>
      </c>
      <c r="K55" t="s">
        <v>20</v>
      </c>
      <c r="L55">
        <v>6</v>
      </c>
      <c r="M55" s="1">
        <v>46167</v>
      </c>
    </row>
    <row r="56" spans="1:13" ht="195" x14ac:dyDescent="0.25">
      <c r="B56" t="s">
        <v>270</v>
      </c>
      <c r="C56" t="s">
        <v>271</v>
      </c>
      <c r="D56" s="7" t="s">
        <v>272</v>
      </c>
      <c r="E56" s="1">
        <v>46162</v>
      </c>
      <c r="F56" s="1">
        <v>46526</v>
      </c>
      <c r="G56">
        <f t="shared" si="0"/>
        <v>364</v>
      </c>
      <c r="H56" s="30">
        <v>700756.21</v>
      </c>
      <c r="I56" t="s">
        <v>273</v>
      </c>
      <c r="J56" t="s">
        <v>269</v>
      </c>
      <c r="K56" t="s">
        <v>20</v>
      </c>
      <c r="L56">
        <v>9</v>
      </c>
      <c r="M56" s="1">
        <v>46167</v>
      </c>
    </row>
    <row r="57" spans="1:13" ht="135" x14ac:dyDescent="0.25">
      <c r="B57" t="s">
        <v>275</v>
      </c>
      <c r="C57" t="s">
        <v>274</v>
      </c>
      <c r="D57" s="7" t="s">
        <v>277</v>
      </c>
      <c r="E57" s="1">
        <v>46162</v>
      </c>
      <c r="F57" s="1">
        <v>46526</v>
      </c>
      <c r="G57">
        <f t="shared" si="0"/>
        <v>364</v>
      </c>
      <c r="H57" s="30">
        <v>51148.24</v>
      </c>
      <c r="I57" t="s">
        <v>281</v>
      </c>
      <c r="J57" t="s">
        <v>19</v>
      </c>
      <c r="K57" t="s">
        <v>20</v>
      </c>
      <c r="L57">
        <v>10</v>
      </c>
      <c r="M57" s="1">
        <v>46167</v>
      </c>
    </row>
    <row r="58" spans="1:13" ht="240" x14ac:dyDescent="0.25">
      <c r="B58" t="s">
        <v>276</v>
      </c>
      <c r="C58" t="s">
        <v>278</v>
      </c>
      <c r="D58" s="7" t="s">
        <v>279</v>
      </c>
      <c r="E58" s="1">
        <v>46162</v>
      </c>
      <c r="F58" s="1">
        <v>46222</v>
      </c>
      <c r="G58">
        <f t="shared" si="0"/>
        <v>60</v>
      </c>
      <c r="H58" s="30">
        <v>59200</v>
      </c>
      <c r="I58" t="s">
        <v>280</v>
      </c>
      <c r="J58" t="s">
        <v>19</v>
      </c>
      <c r="K58" t="s">
        <v>20</v>
      </c>
      <c r="L58">
        <v>11</v>
      </c>
      <c r="M58" s="1">
        <v>46167</v>
      </c>
    </row>
    <row r="59" spans="1:13" ht="120" x14ac:dyDescent="0.25">
      <c r="B59" t="s">
        <v>282</v>
      </c>
      <c r="C59" t="s">
        <v>283</v>
      </c>
      <c r="D59" s="7" t="s">
        <v>284</v>
      </c>
      <c r="E59" s="1">
        <v>46098</v>
      </c>
      <c r="F59" s="1">
        <v>46462</v>
      </c>
      <c r="G59">
        <f t="shared" si="0"/>
        <v>364</v>
      </c>
      <c r="H59" s="30">
        <v>30000</v>
      </c>
      <c r="I59" t="s">
        <v>286</v>
      </c>
      <c r="J59" t="s">
        <v>19</v>
      </c>
      <c r="K59" s="28" t="s">
        <v>285</v>
      </c>
      <c r="L59">
        <v>4</v>
      </c>
      <c r="M59" s="1">
        <v>46104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46176</v>
      </c>
    </row>
    <row r="24" spans="1:5" x14ac:dyDescent="0.25">
      <c r="A24">
        <v>23</v>
      </c>
      <c r="B24" t="s">
        <v>104</v>
      </c>
      <c r="C24" s="1">
        <v>46107</v>
      </c>
    </row>
    <row r="25" spans="1:5" x14ac:dyDescent="0.25">
      <c r="A25">
        <v>24</v>
      </c>
      <c r="B25" t="s">
        <v>107</v>
      </c>
    </row>
    <row r="26" spans="1:5" x14ac:dyDescent="0.25">
      <c r="A26">
        <v>25</v>
      </c>
      <c r="B26" t="s">
        <v>112</v>
      </c>
      <c r="D26" s="1">
        <f ca="1">TODAY()</f>
        <v>46176</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2026-06-03T14:12:10Z</dcterms:modified>
</cp:coreProperties>
</file>