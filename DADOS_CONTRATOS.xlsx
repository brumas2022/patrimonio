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9E0AAF82-F25C-40A7-B239-7E35F3B969A9}"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1" i="1" l="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<sst xmlns="http://schemas.openxmlformats.org/spreadsheetml/2006/main" count="612" uniqueCount="261">
  <si>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</si>
  <si>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</si>
  <si>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</si>
  <si>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</si>
  <si>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</si>
  <si>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</si>
  <si>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</si>
  <si>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</si>
  <si>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</si>
  <si>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</si>
  <si>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</si>
  <si>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</si>
  <si>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</si>
  <si>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</si>
  <si>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</si>
  <si>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</si>
  <si>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</si>
  <si>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</si>
  <si>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</si>
  <si>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</si>
  <si>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</si>
  <si>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</si>
  <si>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</si>
  <si>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</si>
  <si>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</si>
  <si>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</si>
  <si>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</si>
  <si>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</si>
  <si>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</si>
  <si>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</si>
  <si>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</si>
  <si>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</si>
  <si>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</si>
  <si>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</si>
  <si>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</si>
  <si>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</si>
  <si>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</si>
  <si>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</si>
  <si>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</si>
  <si>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</si>
  <si>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</si>
  <si>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</si>
  <si>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</si>
  <si>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</si>
  <si>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</si>
  <si>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</si>
  <si>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</si>
  <si>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</si>
  <si>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</si>
  <si>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</si>
  <si>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</si>
  <si>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</si>
  <si>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</si>
  <si>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</si>
  <si>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</si>
  <si>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</si>
  <si>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</si>
  <si>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</si>
  <si>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</si>
  <si>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</si>
  <si>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</si>
  <si>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</si>
  <si>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</si>
  <si>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</si>
  <si>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</si>
  <si>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</si>
  <si>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</si>
  <si>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</si>
  <si>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</si>
  <si>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</si>
  <si>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</si>
  <si>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</si>
  <si>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</si>
  <si>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</si>
  <si>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</si>
  <si>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</si>
  <si>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</si>
  <si>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</si>
  <si>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</si>
  <si>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</si>
  <si>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</si>
  <si>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</si>
  <si>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</si>
  <si>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</si>
  <si>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</si>
  <si>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</si>
  <si>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</si>
  <si>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</si>
  <si>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</si>
  <si>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</si>
  <si>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</si>
  <si>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</si>
  <si>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</si>
  <si>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</si>
  <si>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</si>
  <si>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</si>
  <si>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</si>
  <si>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</si>
  <si>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</si>
  <si>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</si>
  <si>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</si>
  <si>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</si>
  <si>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</si>
  <si>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</si>
  <si>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</si>
  <si>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</si>
  <si>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</si>
  <si>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</si>
  <si>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</si>
  <si>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</si>
  <si>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</si>
  <si>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</si>
  <si>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</si>
  <si>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</si>
  <si>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</si>
  <si>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</si>
  <si>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</si>
  <si>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</si>
  <si>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</si>
  <si>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</si>
  <si>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</si>
  <si>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</si>
  <si>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</si>
  <si>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</si>
  <si>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</si>
  <si>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</si>
  <si>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</si>
  <si>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</si>
  <si>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</si>
  <si>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</si>
  <si>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</si>
  <si>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</si>
  <si>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</si>
  <si>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</si>
  <si>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</si>
  <si>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</si>
  <si>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</si>
  <si>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</si>
  <si>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</si>
  <si>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</si>
  <si>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</si>
  <si>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</si>
  <si>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</si>
  <si>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</si>
  <si>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</si>
  <si>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</si>
  <si>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</si>
  <si>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</si>
  <si>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</si>
  <si>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</si>
  <si>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</si>
  <si>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</si>
  <si>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</si>
  <si>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</si>
  <si>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</si>
  <si>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</si>
  <si>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</si>
  <si>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</si>
  <si>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</si>
  <si>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</si>
  <si>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</si>
  <si>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</si>
  <si>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</si>
  <si>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</si>
  <si>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</si>
  <si>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</si>
  <si>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</si>
  <si>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</si>
  <si>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</si>
  <si>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</si>
  <si>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</si>
  <si>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</si>
  <si>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</si>
  <si>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</si>
  <si>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</si>
  <si>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</si>
  <si>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</si>
  <si>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</si>
  <si>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</si>
  <si>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</si>
  <si>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</si>
  <si>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</si>
  <si>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</si>
  <si>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</si>
  <si>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</si>
  <si>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</si>
  <si>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</si>
  <si>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</si>
  <si>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</si>
  <si>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</si>
  <si>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</si>
  <si>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</si>
  <si>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</si>
  <si>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</si>
  <si>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</si>
  <si>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</si>
  <si>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</si>
  <si>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</si>
  <si>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</si>
  <si>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</si>
  <si>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</si>
  <si>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</si>
  <si>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</si>
  <si>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</si>
  <si>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</si>
  <si>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</si>
  <si>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</si>
  <si>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</si>
  <si>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</si>
  <si>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</si>
  <si>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</si>
  <si>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</si>
  <si>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</si>
  <si>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</si>
  <si>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</si>
  <si>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</si>
  <si>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</si>
  <si>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</si>
  <si>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</si>
  <si>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</si>
  <si>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</si>
  <si>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</si>
  <si>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</si>
  <si>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</si>
  <si>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</si>
  <si>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</si>
  <si>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</si>
  <si>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</si>
  <si>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</si>
  <si>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</si>
  <si>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</si>
  <si>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</si>
  <si>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</si>
  <si>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</si>
  <si>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</si>
  <si>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</si>
  <si>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</si>
  <si>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</si>
  <si>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</si>
  <si>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</si>
  <si>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</si>
  <si>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</si>
  <si>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</si>
  <si>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</si>
  <si>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</si>
  <si>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</si>
  <si>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</si>
  <si>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CE 008/2025</t>
  </si>
  <si>
    <t>situacao</t>
  </si>
  <si>
    <t>aditivado</t>
  </si>
  <si>
    <t>ativo</t>
  </si>
  <si>
    <t>019/2025</t>
  </si>
  <si>
    <t>PE 023/2025</t>
  </si>
  <si>
    <t>SERVIÇOS DE REATERRO DE EROSÃO NA ADUTORA DA CAIXA DÁGUA DO BAIRRO GLOBO RECREIO, COM EXECUÇÃO DE CIMENTO PARCIAL NO SOLO, MÃO DE OBRA E FORNECIMENTO DOS MATERIAIS</t>
  </si>
  <si>
    <t>R SANTANA DE ALMEIDA</t>
  </si>
  <si>
    <t>OPERAÇÃO, MANUTENÇÃO E CONSERVAÇÃO DO SISTEMA PÚBLICO DE ABASTECIMENTO DE ÁGUA DO MUNICÍPIO DE RONDONÓPOLIS – MT</t>
  </si>
  <si>
    <t>021/2025</t>
  </si>
  <si>
    <t>001/2026</t>
  </si>
  <si>
    <t>CE 011/2025</t>
  </si>
  <si>
    <t>DL 005/2025</t>
  </si>
  <si>
    <t>COOMSER - COOP. DE TRABALHO E SERVIÇOS DE RONDONÓPOLIS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</si>
</sst>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3"/>
  <sheetViews>
    <sheetView tabSelected="1" topLeftCell="B48" workbookViewId="0">
      <selection activeCell="C50" sqref="C50"/>
    </sheetView>
  </sheetViews>
  <sheetFormatPr defaultRowHeight="15" x14ac:dyDescent="0.25"/>
  <cols>
    <col min="1" max="1" width="5.28515625" customWidth="1"/>
    <col min="2" max="2" width="9.7109375" customWidth="1"/>
    <col min="3" max="3" width="41.570312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248</v>
      </c>
    </row>
    <row r="2" spans="1:16" s="4" customFormat="1" ht="60.75" customHeight="1" x14ac:dyDescent="0.25">
      <c r="A2" s="4">
        <v>1</v>
      </c>
      <c r="B2" s="4" t="s">
        <v>15</v>
      </c>
      <c r="C2" s="4" t="s">
        <v>16</v>
      </c>
      <c r="D2" s="16" t="s">
        <v>17</v>
      </c>
      <c r="E2" s="6">
        <v>44685</v>
      </c>
      <c r="F2" s="6">
        <v>45064</v>
      </c>
      <c r="G2" s="4">
        <f t="shared" ref="G2:G51" si="0">F2-E2</f>
        <v>379</v>
      </c>
      <c r="H2" s="17">
        <v>5310660</v>
      </c>
      <c r="I2" s="4" t="s">
        <v>18</v>
      </c>
      <c r="J2" s="4" t="s">
        <v>19</v>
      </c>
      <c r="K2" s="4" t="s">
        <v>20</v>
      </c>
      <c r="L2" s="4">
        <v>16</v>
      </c>
      <c r="M2" s="6">
        <v>44705</v>
      </c>
      <c r="N2" s="4" t="s">
        <v>21</v>
      </c>
      <c r="P2" s="4" t="s">
        <v>249</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249</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249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249</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249</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249</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249</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249</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249</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249</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249</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249</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249</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249</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250</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249</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249</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249</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254</v>
      </c>
      <c r="D50" s="7" t="s">
        <v>253</v>
      </c>
      <c r="E50" s="1">
        <v>45932</v>
      </c>
      <c r="F50" s="1">
        <v>45992</v>
      </c>
      <c r="G50">
        <f t="shared" si="0"/>
        <v>60</v>
      </c>
      <c r="H50" s="14">
        <v>131040.5</v>
      </c>
      <c r="I50" t="s">
        <v>247</v>
      </c>
      <c r="J50" t="s">
        <v>19</v>
      </c>
      <c r="K50" t="s">
        <v>20</v>
      </c>
      <c r="L50">
        <v>43</v>
      </c>
      <c r="M50" s="1">
        <v>45943</v>
      </c>
    </row>
    <row r="51" spans="1:13" ht="105" x14ac:dyDescent="0.25">
      <c r="B51" t="s">
        <v>251</v>
      </c>
      <c r="C51" t="s">
        <v>130</v>
      </c>
      <c r="D51" s="7" t="s">
        <v>131</v>
      </c>
      <c r="E51" s="1">
        <v>46006</v>
      </c>
      <c r="F51" s="1">
        <v>46005</v>
      </c>
      <c r="G51">
        <f t="shared" si="0"/>
        <v>-1</v>
      </c>
      <c r="H51" s="25">
        <v>75617.100000000006</v>
      </c>
      <c r="I51" t="s">
        <v>252</v>
      </c>
      <c r="J51" t="s">
        <v>19</v>
      </c>
      <c r="K51" t="s">
        <v>20</v>
      </c>
      <c r="L51">
        <v>48</v>
      </c>
      <c r="M51" s="1">
        <v>46007</v>
      </c>
    </row>
    <row r="52" spans="1:13" ht="60" x14ac:dyDescent="0.25">
      <c r="B52" t="s">
        <v>256</v>
      </c>
      <c r="C52" t="s">
        <v>260</v>
      </c>
      <c r="D52" s="7" t="s">
        <v>255</v>
      </c>
      <c r="E52" s="1">
        <v>46010</v>
      </c>
      <c r="H52" s="25">
        <v>7304121.4800000004</v>
      </c>
      <c r="I52" t="s">
        <v>259</v>
      </c>
      <c r="J52" t="s">
        <v>19</v>
      </c>
      <c r="K52" t="s">
        <v>20</v>
      </c>
      <c r="L52">
        <v>1</v>
      </c>
      <c r="M52" s="1">
        <v>46027</v>
      </c>
    </row>
    <row r="53" spans="1:13" ht="60" x14ac:dyDescent="0.25">
      <c r="B53" t="s">
        <v>257</v>
      </c>
      <c r="C53" t="s">
        <v>260</v>
      </c>
      <c r="D53" s="7" t="s">
        <v>255</v>
      </c>
      <c r="E53" s="1">
        <v>46055</v>
      </c>
      <c r="F53" s="1">
        <v>46419</v>
      </c>
      <c r="H53" s="25">
        <v>30599999.16</v>
      </c>
      <c r="I53" t="s">
        <v>258</v>
      </c>
      <c r="J53" t="s">
        <v>19</v>
      </c>
      <c r="K53" t="s">
        <v>20</v>
      </c>
      <c r="L53">
        <v>2</v>
      </c>
      <c r="M53" s="1">
        <v>46078</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46093</v>
      </c>
    </row>
    <row r="24" spans="1:5" x14ac:dyDescent="0.25">
      <c r="A24">
        <v>23</v>
      </c>
      <c r="B24" t="s">
        <v>104</v>
      </c>
      <c r="C24" s="1">
        <v>46107</v>
      </c>
    </row>
    <row r="25" spans="1:5" x14ac:dyDescent="0.25">
      <c r="A25">
        <v>24</v>
      </c>
      <c r="B25" t="s">
        <v>107</v>
      </c>
    </row>
    <row r="26" spans="1:5" x14ac:dyDescent="0.25">
      <c r="A26">
        <v>25</v>
      </c>
      <c r="B26" t="s">
        <v>112</v>
      </c>
      <c r="D26" s="1">
        <f ca="1">TODAY()</f>
        <v>46093</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2026-03-12T19:18:48Z</dcterms:modified>
</cp:coreProperties>
</file>